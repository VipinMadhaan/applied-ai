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r Regression" sheetId="1" r:id="rId5"/>
    <sheet state="visible" name="Logistic Regression" sheetId="2" r:id="rId6"/>
  </sheets>
  <definedNames/>
  <calcPr/>
</workbook>
</file>

<file path=xl/sharedStrings.xml><?xml version="1.0" encoding="utf-8"?>
<sst xmlns="http://schemas.openxmlformats.org/spreadsheetml/2006/main" count="144" uniqueCount="108">
  <si>
    <t>Multiple Linear Regression Demo</t>
  </si>
  <si>
    <t>EQUATIONAL FORM of LINEAR REGRESSION</t>
  </si>
  <si>
    <t>Y=F(Xi)</t>
  </si>
  <si>
    <t>Y = B0 + B1X1 +B2X2….+BKXK+e, where K = no. of Independent Variables</t>
  </si>
  <si>
    <r>
      <rPr>
        <rFont val="Calibri"/>
        <b/>
        <color theme="1"/>
        <sz val="11.0"/>
      </rPr>
      <t>Y</t>
    </r>
    <r>
      <rPr>
        <rFont val="Calibri"/>
        <color theme="1"/>
        <sz val="11.0"/>
      </rPr>
      <t xml:space="preserve"> = DEPENDENT VARIABLE (Variable of Interest)</t>
    </r>
  </si>
  <si>
    <r>
      <rPr>
        <rFont val="Calibri"/>
        <b/>
        <color theme="1"/>
        <sz val="11.0"/>
      </rPr>
      <t>B0</t>
    </r>
    <r>
      <rPr>
        <rFont val="Calibri"/>
        <color theme="1"/>
        <sz val="11.0"/>
      </rPr>
      <t xml:space="preserve">  = INTERCEPT TERM (Expected Y when all Xi = 0)</t>
    </r>
  </si>
  <si>
    <r>
      <rPr>
        <rFont val="Calibri"/>
        <b/>
        <color theme="1"/>
        <sz val="11.0"/>
      </rPr>
      <t>B1</t>
    </r>
    <r>
      <rPr>
        <rFont val="Calibri"/>
        <color theme="1"/>
        <sz val="11.0"/>
      </rPr>
      <t xml:space="preserve"> = COEFFICIENT OF X1(Change in Y for a unit change in X1, keeping all other things constant)</t>
    </r>
  </si>
  <si>
    <r>
      <rPr>
        <rFont val="Calibri"/>
        <b/>
        <color theme="1"/>
        <sz val="11.0"/>
      </rPr>
      <t xml:space="preserve">e </t>
    </r>
    <r>
      <rPr>
        <rFont val="Calibri"/>
        <color theme="1"/>
        <sz val="11.0"/>
      </rPr>
      <t>= ERROR TERM</t>
    </r>
  </si>
  <si>
    <t>INDUSTRY USAGE - HOW WE DO PERFORM THE MODELING</t>
  </si>
  <si>
    <t>Industries</t>
  </si>
  <si>
    <t>--&gt; Explainability</t>
  </si>
  <si>
    <t>Y</t>
  </si>
  <si>
    <t>Sales</t>
  </si>
  <si>
    <t>Practical</t>
  </si>
  <si>
    <t>Statistical Signficance</t>
  </si>
  <si>
    <t>Banking</t>
  </si>
  <si>
    <t>Amex, HSBC</t>
  </si>
  <si>
    <t>X</t>
  </si>
  <si>
    <t>Marketing</t>
  </si>
  <si>
    <t>beta size</t>
  </si>
  <si>
    <t>p-value</t>
  </si>
  <si>
    <t>1M Dollars</t>
  </si>
  <si>
    <t>Retail</t>
  </si>
  <si>
    <t>Target (US Retail Chain)</t>
  </si>
  <si>
    <t>---&gt;</t>
  </si>
  <si>
    <t>TV</t>
  </si>
  <si>
    <t>LOWER THE VALUE BETTER IT IS</t>
  </si>
  <si>
    <t>Telecom</t>
  </si>
  <si>
    <t>AT NT, Telstra</t>
  </si>
  <si>
    <t>Print</t>
  </si>
  <si>
    <t>E-commerce</t>
  </si>
  <si>
    <t>Radio</t>
  </si>
  <si>
    <t>Manufacturing</t>
  </si>
  <si>
    <t>Tata</t>
  </si>
  <si>
    <t>Instagram</t>
  </si>
  <si>
    <t xml:space="preserve">Higher </t>
  </si>
  <si>
    <t>Facebook</t>
  </si>
  <si>
    <t>Youtube</t>
  </si>
  <si>
    <t>..</t>
  </si>
  <si>
    <t>--&gt; Optimize and ultize our budget</t>
  </si>
  <si>
    <t>Optimization</t>
  </si>
  <si>
    <t>Unknown</t>
  </si>
  <si>
    <t xml:space="preserve">Student </t>
  </si>
  <si>
    <t>SCN1 (During Classes)</t>
  </si>
  <si>
    <t>SCN 2 (During Assessment)</t>
  </si>
  <si>
    <t>SCN 3( During Interviews)</t>
  </si>
  <si>
    <t>Arpendu</t>
  </si>
  <si>
    <t>Very Good</t>
  </si>
  <si>
    <t>Not Good</t>
  </si>
  <si>
    <t>Bad</t>
  </si>
  <si>
    <t>Good</t>
  </si>
  <si>
    <t>Model</t>
  </si>
  <si>
    <t>Data</t>
  </si>
  <si>
    <t>Train the model</t>
  </si>
  <si>
    <t>Check the Model in an Unknown Data</t>
  </si>
  <si>
    <t>Train</t>
  </si>
  <si>
    <t>Train Data</t>
  </si>
  <si>
    <t>Validation (Test)</t>
  </si>
  <si>
    <t>R-SQUARE</t>
  </si>
  <si>
    <t>test</t>
  </si>
  <si>
    <t>DATA SPILT</t>
  </si>
  <si>
    <t>90% of variation of Sales is explained by mine model</t>
  </si>
  <si>
    <t>R-SQUARE = ESS/TSS</t>
  </si>
  <si>
    <t>Validation</t>
  </si>
  <si>
    <t>Test</t>
  </si>
  <si>
    <t>Random Split</t>
  </si>
  <si>
    <t>Train (80%)</t>
  </si>
  <si>
    <t>- Data which is used to fit/train the model</t>
  </si>
  <si>
    <t>Entire Data</t>
  </si>
  <si>
    <t>Test (20%)</t>
  </si>
  <si>
    <t>- Data which is used to validate/verify the model from an unknown source perspective</t>
  </si>
  <si>
    <t>No random state</t>
  </si>
  <si>
    <t>iter_1</t>
  </si>
  <si>
    <t>iter_2</t>
  </si>
  <si>
    <t>iter_3</t>
  </si>
  <si>
    <t>train</t>
  </si>
  <si>
    <t>...</t>
  </si>
  <si>
    <t>With random state (any number for ex: 42)</t>
  </si>
  <si>
    <t>Logistic Regression Demo</t>
  </si>
  <si>
    <t>EQUATIONAL FORM of LOGISTIC REGRESSION</t>
  </si>
  <si>
    <t>P(Y=1| X) =</t>
  </si>
  <si>
    <t>exp(z)/1+exp(z)</t>
  </si>
  <si>
    <t>Logisitic Regression Equation</t>
  </si>
  <si>
    <t>where z = Bo+ B1X1+...+BKXK</t>
  </si>
  <si>
    <t>Highly Interpretable, Robust in terms of accuracy</t>
  </si>
  <si>
    <t>Categorcial Dependent--&gt; Classification Models</t>
  </si>
  <si>
    <t>Y= Transaction</t>
  </si>
  <si>
    <t>Fraud Transaction</t>
  </si>
  <si>
    <t>Non Fraud Transaction</t>
  </si>
  <si>
    <t>Use cases</t>
  </si>
  <si>
    <t>Probability of Default, Churn Models, Product Propensity</t>
  </si>
  <si>
    <t>Healthcare</t>
  </si>
  <si>
    <t>Dieases Prediction, Durg Efficacy</t>
  </si>
  <si>
    <t>Detection of Machines Issues</t>
  </si>
  <si>
    <t>Churn Model, Customer Propesnity Models</t>
  </si>
  <si>
    <t>postive class</t>
  </si>
  <si>
    <t>negative class</t>
  </si>
  <si>
    <t>Predicted</t>
  </si>
  <si>
    <t>Y_Actual</t>
  </si>
  <si>
    <t>Y_Pred</t>
  </si>
  <si>
    <t>TN</t>
  </si>
  <si>
    <t>FP</t>
  </si>
  <si>
    <t>Actual</t>
  </si>
  <si>
    <t>FN</t>
  </si>
  <si>
    <t>TP</t>
  </si>
  <si>
    <t>Accuracy</t>
  </si>
  <si>
    <t>Senstivity (1)</t>
  </si>
  <si>
    <t>Specificity(0)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</si>
</sst>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4"/>
      <name val="Arial"/>
      <scheme val="minor"/>
    </font>
    <font/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b/>
      <sz val="14.0"/>
      <color rgb="FF4285F4"/>
      <name val="Arial"/>
      <scheme val="minor"/>
    </font>
    <font>
      <b/>
      <sz val="11.0"/>
      <color rgb="FF70AD47"/>
      <name val="Calibri"/>
    </font>
    <font>
      <i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vertical="bottom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ill="1" applyFont="1">
      <alignment vertical="bottom"/>
    </xf>
    <xf borderId="10" fillId="5" fontId="3" numFmtId="0" xfId="0" applyAlignment="1" applyBorder="1" applyFill="1" applyFont="1">
      <alignment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quotePrefix="1"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0" fontId="7" numFmtId="9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2" fontId="7" numFmtId="0" xfId="0" applyFont="1"/>
    <xf borderId="0" fillId="0" fontId="5" numFmtId="0" xfId="0" applyFont="1"/>
    <xf borderId="11" fillId="0" fontId="7" numFmtId="0" xfId="0" applyAlignment="1" applyBorder="1" applyFont="1">
      <alignment readingOrder="0"/>
    </xf>
    <xf borderId="11" fillId="0" fontId="7" numFmtId="0" xfId="0" applyBorder="1" applyFont="1"/>
    <xf quotePrefix="1" borderId="0" fillId="0" fontId="5" numFmtId="0" xfId="0" applyAlignment="1" applyFont="1">
      <alignment readingOrder="0"/>
    </xf>
    <xf borderId="0" fillId="0" fontId="7" numFmtId="0" xfId="0" applyFont="1"/>
    <xf borderId="1" fillId="2" fontId="8" numFmtId="0" xfId="0" applyAlignment="1" applyBorder="1" applyFont="1">
      <alignment horizontal="center" readingOrder="0" vertical="center"/>
    </xf>
    <xf borderId="7" fillId="3" fontId="3" numFmtId="0" xfId="0" applyAlignment="1" applyBorder="1" applyFont="1">
      <alignment readingOrder="0" vertical="bottom"/>
    </xf>
    <xf borderId="12" fillId="4" fontId="9" numFmtId="0" xfId="0" applyAlignment="1" applyBorder="1" applyFont="1">
      <alignment horizontal="right" readingOrder="0" vertical="bottom"/>
    </xf>
    <xf borderId="13" fillId="4" fontId="9" numFmtId="0" xfId="0" applyAlignment="1" applyBorder="1" applyFont="1">
      <alignment vertical="bottom"/>
    </xf>
    <xf borderId="14" fillId="4" fontId="9" numFmtId="0" xfId="0" applyAlignment="1" applyBorder="1" applyFont="1">
      <alignment vertical="bottom"/>
    </xf>
    <xf borderId="10" fillId="4" fontId="9" numFmtId="0" xfId="0" applyAlignment="1" applyBorder="1" applyFont="1">
      <alignment vertical="bottom"/>
    </xf>
    <xf borderId="10" fillId="4" fontId="10" numFmtId="0" xfId="0" applyAlignment="1" applyBorder="1" applyFont="1">
      <alignment readingOrder="0" vertical="bottom"/>
    </xf>
    <xf borderId="0" fillId="0" fontId="6" numFmtId="0" xfId="0" applyFont="1"/>
    <xf borderId="0" fillId="6" fontId="5" numFmtId="0" xfId="0" applyAlignment="1" applyFill="1" applyFont="1">
      <alignment horizontal="center" readingOrder="0"/>
    </xf>
    <xf borderId="11" fillId="7" fontId="7" numFmtId="0" xfId="0" applyAlignment="1" applyBorder="1" applyFill="1" applyFont="1">
      <alignment readingOrder="0"/>
    </xf>
    <xf borderId="11" fillId="8" fontId="7" numFmtId="0" xfId="0" applyAlignment="1" applyBorder="1" applyFill="1" applyFont="1">
      <alignment readingOrder="0"/>
    </xf>
    <xf borderId="0" fillId="0" fontId="7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0</xdr:row>
      <xdr:rowOff>-9525</xdr:rowOff>
    </xdr:from>
    <xdr:ext cx="1457325" cy="1485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352425</xdr:colOff>
      <xdr:row>0</xdr:row>
      <xdr:rowOff>-9525</xdr:rowOff>
    </xdr:from>
    <xdr:ext cx="1457325" cy="1485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6" width="12.63"/>
    <col customWidth="1" min="14" max="14" width="29.0"/>
  </cols>
  <sheetData>
    <row r="1" ht="41.25" customHeight="1"/>
    <row r="2">
      <c r="G2" s="1" t="s">
        <v>0</v>
      </c>
      <c r="H2" s="2"/>
      <c r="I2" s="2"/>
      <c r="J2" s="2"/>
      <c r="K2" s="2"/>
      <c r="L2" s="2"/>
      <c r="M2" s="2"/>
      <c r="N2" s="2"/>
      <c r="O2" s="2"/>
      <c r="P2" s="3"/>
    </row>
    <row r="3">
      <c r="G3" s="4"/>
      <c r="H3" s="5"/>
      <c r="I3" s="5"/>
      <c r="J3" s="5"/>
      <c r="K3" s="5"/>
      <c r="L3" s="5"/>
      <c r="M3" s="5"/>
      <c r="N3" s="5"/>
      <c r="O3" s="5"/>
      <c r="P3" s="6"/>
    </row>
    <row r="7">
      <c r="G7" s="7" t="s">
        <v>1</v>
      </c>
      <c r="H7" s="8"/>
      <c r="I7" s="9"/>
    </row>
    <row r="8">
      <c r="G8" s="10" t="s">
        <v>2</v>
      </c>
    </row>
    <row r="9">
      <c r="G9" s="11" t="s">
        <v>3</v>
      </c>
    </row>
    <row r="10">
      <c r="G10" s="10" t="s">
        <v>4</v>
      </c>
    </row>
    <row r="11">
      <c r="G11" s="10" t="s">
        <v>5</v>
      </c>
    </row>
    <row r="12">
      <c r="G12" s="10" t="s">
        <v>6</v>
      </c>
    </row>
    <row r="13">
      <c r="G13" s="10" t="s">
        <v>7</v>
      </c>
    </row>
    <row r="16">
      <c r="G16" s="12" t="s">
        <v>8</v>
      </c>
    </row>
    <row r="18">
      <c r="G18" s="13" t="s">
        <v>9</v>
      </c>
      <c r="H18" s="14" t="s">
        <v>10</v>
      </c>
      <c r="K18" s="15" t="s">
        <v>11</v>
      </c>
      <c r="L18" s="16" t="s">
        <v>12</v>
      </c>
    </row>
    <row r="19">
      <c r="M19" s="16" t="s">
        <v>13</v>
      </c>
      <c r="N19" s="16" t="s">
        <v>14</v>
      </c>
    </row>
    <row r="20">
      <c r="G20" s="16" t="s">
        <v>15</v>
      </c>
      <c r="H20" s="16" t="s">
        <v>16</v>
      </c>
      <c r="K20" s="15" t="s">
        <v>17</v>
      </c>
      <c r="L20" s="16" t="s">
        <v>18</v>
      </c>
      <c r="M20" s="16" t="s">
        <v>19</v>
      </c>
      <c r="N20" s="16" t="s">
        <v>20</v>
      </c>
      <c r="O20" s="16" t="s">
        <v>21</v>
      </c>
    </row>
    <row r="21">
      <c r="G21" s="17" t="s">
        <v>22</v>
      </c>
      <c r="H21" s="16" t="s">
        <v>23</v>
      </c>
      <c r="J21" s="16" t="s">
        <v>24</v>
      </c>
      <c r="K21" s="18">
        <v>0.5</v>
      </c>
      <c r="L21" s="16" t="s">
        <v>25</v>
      </c>
      <c r="N21" s="16" t="s">
        <v>26</v>
      </c>
    </row>
    <row r="22">
      <c r="G22" s="16" t="s">
        <v>27</v>
      </c>
      <c r="H22" s="16" t="s">
        <v>28</v>
      </c>
      <c r="L22" s="16" t="s">
        <v>29</v>
      </c>
    </row>
    <row r="23">
      <c r="G23" s="16" t="s">
        <v>30</v>
      </c>
      <c r="L23" s="16" t="s">
        <v>31</v>
      </c>
    </row>
    <row r="24">
      <c r="G24" s="16" t="s">
        <v>32</v>
      </c>
      <c r="H24" s="16" t="s">
        <v>33</v>
      </c>
      <c r="L24" s="19" t="s">
        <v>34</v>
      </c>
      <c r="M24" s="19" t="s">
        <v>35</v>
      </c>
      <c r="N24" s="20"/>
      <c r="O24" s="20"/>
    </row>
    <row r="25">
      <c r="L25" s="16" t="s">
        <v>36</v>
      </c>
    </row>
    <row r="26">
      <c r="L26" s="16" t="s">
        <v>37</v>
      </c>
    </row>
    <row r="27">
      <c r="L27" s="16" t="s">
        <v>38</v>
      </c>
    </row>
    <row r="29">
      <c r="L29" s="16" t="s">
        <v>39</v>
      </c>
    </row>
    <row r="30">
      <c r="L30" s="16" t="s">
        <v>40</v>
      </c>
    </row>
    <row r="33">
      <c r="K33" s="16" t="s">
        <v>41</v>
      </c>
      <c r="M33" s="16" t="s">
        <v>41</v>
      </c>
    </row>
    <row r="34">
      <c r="H34" s="16" t="s">
        <v>42</v>
      </c>
      <c r="I34" s="15" t="s">
        <v>43</v>
      </c>
      <c r="J34" s="21"/>
      <c r="K34" s="15" t="s">
        <v>44</v>
      </c>
      <c r="L34" s="21"/>
      <c r="M34" s="15" t="s">
        <v>45</v>
      </c>
    </row>
    <row r="35">
      <c r="H35" s="16" t="s">
        <v>46</v>
      </c>
      <c r="I35" s="16" t="s">
        <v>47</v>
      </c>
      <c r="K35" s="16" t="s">
        <v>48</v>
      </c>
      <c r="M35" s="16" t="s">
        <v>49</v>
      </c>
    </row>
    <row r="37">
      <c r="I37" s="16" t="s">
        <v>50</v>
      </c>
      <c r="K37" s="16" t="s">
        <v>50</v>
      </c>
      <c r="M37" s="16" t="s">
        <v>50</v>
      </c>
    </row>
    <row r="40">
      <c r="H40" s="16" t="s">
        <v>51</v>
      </c>
      <c r="I40" s="16" t="s">
        <v>52</v>
      </c>
      <c r="M40" s="22" t="s">
        <v>53</v>
      </c>
      <c r="N40" s="22" t="s">
        <v>54</v>
      </c>
    </row>
    <row r="41">
      <c r="H41" s="16">
        <v>1.0</v>
      </c>
      <c r="I41" s="23"/>
      <c r="K41" s="16" t="s">
        <v>55</v>
      </c>
      <c r="M41" s="22" t="s">
        <v>56</v>
      </c>
      <c r="N41" s="22" t="s">
        <v>57</v>
      </c>
    </row>
    <row r="42">
      <c r="H42" s="16">
        <v>2.0</v>
      </c>
      <c r="I42" s="23"/>
      <c r="K42" s="16" t="s">
        <v>55</v>
      </c>
      <c r="M42" s="16" t="s">
        <v>58</v>
      </c>
      <c r="N42" s="16" t="s">
        <v>58</v>
      </c>
    </row>
    <row r="43">
      <c r="H43" s="16">
        <v>3.0</v>
      </c>
      <c r="I43" s="23"/>
      <c r="K43" s="16" t="s">
        <v>59</v>
      </c>
      <c r="M43" s="18">
        <v>0.9</v>
      </c>
      <c r="N43" s="18">
        <v>0.6</v>
      </c>
    </row>
    <row r="44">
      <c r="H44" s="16">
        <v>4.0</v>
      </c>
      <c r="I44" s="23"/>
      <c r="K44" s="16" t="s">
        <v>55</v>
      </c>
      <c r="M44" s="16" t="s">
        <v>60</v>
      </c>
    </row>
    <row r="45">
      <c r="H45" s="16" t="s">
        <v>38</v>
      </c>
      <c r="I45" s="23"/>
      <c r="K45" s="16" t="s">
        <v>59</v>
      </c>
      <c r="M45" s="18">
        <v>0.8</v>
      </c>
      <c r="N45" s="18">
        <v>0.2</v>
      </c>
    </row>
    <row r="46">
      <c r="I46" s="23"/>
    </row>
    <row r="47">
      <c r="I47" s="23"/>
    </row>
    <row r="48">
      <c r="M48" s="13" t="s">
        <v>61</v>
      </c>
    </row>
    <row r="49">
      <c r="K49" s="16" t="s">
        <v>55</v>
      </c>
      <c r="M49" s="16" t="s">
        <v>62</v>
      </c>
    </row>
    <row r="50">
      <c r="K50" s="16" t="s">
        <v>63</v>
      </c>
    </row>
    <row r="51">
      <c r="K51" s="16" t="s">
        <v>64</v>
      </c>
      <c r="L51" s="16" t="s">
        <v>41</v>
      </c>
    </row>
    <row r="57">
      <c r="J57" s="16" t="s">
        <v>65</v>
      </c>
    </row>
    <row r="58">
      <c r="J58" s="15" t="s">
        <v>66</v>
      </c>
      <c r="K58" s="24" t="s">
        <v>67</v>
      </c>
      <c r="L58" s="21"/>
      <c r="M58" s="21"/>
      <c r="N58" s="21"/>
    </row>
    <row r="59">
      <c r="H59" s="16" t="s">
        <v>68</v>
      </c>
    </row>
    <row r="60">
      <c r="J60" s="15" t="s">
        <v>69</v>
      </c>
      <c r="K60" s="24" t="s">
        <v>70</v>
      </c>
      <c r="L60" s="21"/>
      <c r="M60" s="21"/>
      <c r="N60" s="21"/>
    </row>
    <row r="65">
      <c r="K65" s="16" t="s">
        <v>71</v>
      </c>
    </row>
    <row r="66">
      <c r="J66" s="16" t="s">
        <v>52</v>
      </c>
      <c r="K66" s="16" t="s">
        <v>72</v>
      </c>
      <c r="L66" s="16" t="s">
        <v>73</v>
      </c>
      <c r="M66" s="16" t="s">
        <v>74</v>
      </c>
    </row>
    <row r="67">
      <c r="I67" s="16">
        <v>1.0</v>
      </c>
      <c r="J67" s="23"/>
      <c r="K67" s="16" t="s">
        <v>75</v>
      </c>
      <c r="L67" s="16" t="s">
        <v>59</v>
      </c>
      <c r="M67" s="16" t="s">
        <v>75</v>
      </c>
      <c r="N67" s="16" t="s">
        <v>76</v>
      </c>
    </row>
    <row r="68">
      <c r="I68" s="25">
        <f t="shared" ref="I68:I73" si="1">I67+1</f>
        <v>2</v>
      </c>
      <c r="J68" s="23"/>
      <c r="K68" s="16" t="s">
        <v>75</v>
      </c>
      <c r="L68" s="16" t="s">
        <v>59</v>
      </c>
      <c r="M68" s="16" t="s">
        <v>59</v>
      </c>
    </row>
    <row r="69">
      <c r="I69" s="25">
        <f t="shared" si="1"/>
        <v>3</v>
      </c>
      <c r="J69" s="23"/>
      <c r="K69" s="16" t="s">
        <v>59</v>
      </c>
    </row>
    <row r="70">
      <c r="I70" s="25">
        <f t="shared" si="1"/>
        <v>4</v>
      </c>
      <c r="J70" s="23"/>
    </row>
    <row r="71">
      <c r="I71" s="25">
        <f t="shared" si="1"/>
        <v>5</v>
      </c>
      <c r="J71" s="23"/>
    </row>
    <row r="72">
      <c r="I72" s="25">
        <f t="shared" si="1"/>
        <v>6</v>
      </c>
      <c r="J72" s="23"/>
    </row>
    <row r="73">
      <c r="I73" s="25">
        <f t="shared" si="1"/>
        <v>7</v>
      </c>
      <c r="J73" s="23"/>
    </row>
    <row r="76">
      <c r="K76" s="16" t="s">
        <v>77</v>
      </c>
    </row>
    <row r="77">
      <c r="J77" s="16" t="s">
        <v>52</v>
      </c>
      <c r="K77" s="16" t="s">
        <v>72</v>
      </c>
      <c r="L77" s="16" t="s">
        <v>73</v>
      </c>
      <c r="M77" s="16" t="s">
        <v>74</v>
      </c>
    </row>
    <row r="78">
      <c r="I78" s="16">
        <v>1.0</v>
      </c>
      <c r="J78" s="23"/>
      <c r="K78" s="16" t="s">
        <v>75</v>
      </c>
      <c r="L78" s="16" t="s">
        <v>75</v>
      </c>
      <c r="M78" s="16" t="s">
        <v>75</v>
      </c>
    </row>
    <row r="79">
      <c r="I79" s="25">
        <f t="shared" ref="I79:I84" si="2">I78+1</f>
        <v>2</v>
      </c>
      <c r="J79" s="23"/>
      <c r="K79" s="16" t="s">
        <v>75</v>
      </c>
      <c r="L79" s="16" t="s">
        <v>75</v>
      </c>
      <c r="M79" s="16" t="s">
        <v>75</v>
      </c>
    </row>
    <row r="80">
      <c r="I80" s="25">
        <f t="shared" si="2"/>
        <v>3</v>
      </c>
      <c r="J80" s="23"/>
      <c r="K80" s="16" t="s">
        <v>59</v>
      </c>
      <c r="L80" s="16" t="s">
        <v>59</v>
      </c>
      <c r="M80" s="16" t="s">
        <v>59</v>
      </c>
    </row>
    <row r="81">
      <c r="I81" s="25">
        <f t="shared" si="2"/>
        <v>4</v>
      </c>
      <c r="J81" s="23"/>
    </row>
    <row r="82">
      <c r="I82" s="25">
        <f t="shared" si="2"/>
        <v>5</v>
      </c>
      <c r="J82" s="23"/>
    </row>
    <row r="83">
      <c r="I83" s="25">
        <f t="shared" si="2"/>
        <v>6</v>
      </c>
      <c r="J83" s="23"/>
    </row>
    <row r="84">
      <c r="I84" s="25">
        <f t="shared" si="2"/>
        <v>7</v>
      </c>
      <c r="J84" s="23"/>
    </row>
  </sheetData>
  <mergeCells count="3">
    <mergeCell ref="G2:P3"/>
    <mergeCell ref="G7:I7"/>
    <mergeCell ref="G16:P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6" width="12.63"/>
  </cols>
  <sheetData>
    <row r="1" ht="41.25" customHeight="1"/>
    <row r="2">
      <c r="G2" s="26" t="s">
        <v>78</v>
      </c>
      <c r="H2" s="2"/>
      <c r="I2" s="2"/>
      <c r="J2" s="2"/>
      <c r="K2" s="2"/>
      <c r="L2" s="2"/>
      <c r="M2" s="2"/>
      <c r="N2" s="2"/>
      <c r="O2" s="2"/>
      <c r="P2" s="3"/>
    </row>
    <row r="3">
      <c r="G3" s="4"/>
      <c r="H3" s="5"/>
      <c r="I3" s="5"/>
      <c r="J3" s="5"/>
      <c r="K3" s="5"/>
      <c r="L3" s="5"/>
      <c r="M3" s="5"/>
      <c r="N3" s="5"/>
      <c r="O3" s="5"/>
      <c r="P3" s="6"/>
    </row>
    <row r="7">
      <c r="G7" s="27" t="s">
        <v>79</v>
      </c>
      <c r="H7" s="8"/>
      <c r="I7" s="9"/>
    </row>
    <row r="8">
      <c r="G8" s="10"/>
    </row>
    <row r="9">
      <c r="G9" s="28" t="s">
        <v>80</v>
      </c>
      <c r="H9" s="29" t="s">
        <v>81</v>
      </c>
      <c r="I9" s="30"/>
      <c r="J9" s="31" t="s">
        <v>82</v>
      </c>
    </row>
    <row r="10">
      <c r="G10" s="10"/>
    </row>
    <row r="11">
      <c r="G11" s="32" t="s">
        <v>83</v>
      </c>
      <c r="H11" s="33"/>
    </row>
    <row r="12">
      <c r="G12" s="10"/>
    </row>
    <row r="13">
      <c r="G13" s="10"/>
    </row>
    <row r="14">
      <c r="G14" s="16" t="s">
        <v>84</v>
      </c>
    </row>
    <row r="16">
      <c r="G16" s="34" t="s">
        <v>8</v>
      </c>
    </row>
    <row r="17">
      <c r="H17" s="13" t="s">
        <v>85</v>
      </c>
    </row>
    <row r="18">
      <c r="G18" s="16" t="s">
        <v>86</v>
      </c>
      <c r="H18" s="16">
        <v>1.0</v>
      </c>
      <c r="I18" s="16" t="s">
        <v>87</v>
      </c>
    </row>
    <row r="19">
      <c r="H19" s="16">
        <v>0.0</v>
      </c>
      <c r="I19" s="16" t="s">
        <v>88</v>
      </c>
    </row>
    <row r="21">
      <c r="G21" s="15" t="s">
        <v>9</v>
      </c>
      <c r="H21" s="15" t="s">
        <v>89</v>
      </c>
    </row>
    <row r="22">
      <c r="G22" s="16" t="s">
        <v>15</v>
      </c>
      <c r="H22" s="16" t="s">
        <v>90</v>
      </c>
    </row>
    <row r="23">
      <c r="G23" s="16" t="s">
        <v>91</v>
      </c>
      <c r="H23" s="16" t="s">
        <v>92</v>
      </c>
    </row>
    <row r="24">
      <c r="G24" s="16" t="s">
        <v>32</v>
      </c>
      <c r="H24" s="16" t="s">
        <v>93</v>
      </c>
    </row>
    <row r="25">
      <c r="G25" s="16" t="s">
        <v>22</v>
      </c>
      <c r="H25" s="16" t="s">
        <v>94</v>
      </c>
    </row>
    <row r="26">
      <c r="G26" s="16" t="s">
        <v>38</v>
      </c>
    </row>
    <row r="27">
      <c r="N27" s="16">
        <v>1.0</v>
      </c>
      <c r="O27" s="16" t="s">
        <v>95</v>
      </c>
    </row>
    <row r="28">
      <c r="N28" s="16">
        <v>0.0</v>
      </c>
      <c r="O28" s="16" t="s">
        <v>96</v>
      </c>
    </row>
    <row r="30">
      <c r="N30" s="16" t="s">
        <v>97</v>
      </c>
    </row>
    <row r="31">
      <c r="N31" s="16">
        <v>0.0</v>
      </c>
      <c r="O31" s="16">
        <v>1.0</v>
      </c>
    </row>
    <row r="32">
      <c r="I32" s="16" t="s">
        <v>98</v>
      </c>
      <c r="J32" s="16" t="s">
        <v>99</v>
      </c>
      <c r="M32" s="16">
        <v>0.0</v>
      </c>
      <c r="N32" s="22">
        <v>10.0</v>
      </c>
      <c r="O32" s="22">
        <v>5.0</v>
      </c>
      <c r="P32" s="35" t="s">
        <v>100</v>
      </c>
      <c r="Q32" s="36" t="s">
        <v>101</v>
      </c>
    </row>
    <row r="33">
      <c r="I33" s="16">
        <v>1.0</v>
      </c>
      <c r="J33" s="16">
        <v>1.0</v>
      </c>
      <c r="L33" s="16" t="s">
        <v>102</v>
      </c>
      <c r="M33" s="16">
        <v>1.0</v>
      </c>
      <c r="N33" s="22">
        <v>5.0</v>
      </c>
      <c r="O33" s="22">
        <v>12.0</v>
      </c>
      <c r="P33" s="36" t="s">
        <v>103</v>
      </c>
      <c r="Q33" s="35" t="s">
        <v>104</v>
      </c>
    </row>
    <row r="34">
      <c r="I34" s="16">
        <v>0.0</v>
      </c>
      <c r="J34" s="16">
        <v>1.0</v>
      </c>
      <c r="N34" s="25">
        <f t="shared" ref="N34:O34" si="1">SUM(N32:N33)</f>
        <v>15</v>
      </c>
      <c r="O34" s="25">
        <f t="shared" si="1"/>
        <v>17</v>
      </c>
    </row>
    <row r="35">
      <c r="I35" s="16">
        <v>1.0</v>
      </c>
      <c r="J35" s="16">
        <v>0.0</v>
      </c>
      <c r="N35" s="25">
        <f>N32+O33</f>
        <v>22</v>
      </c>
    </row>
    <row r="36">
      <c r="I36" s="16">
        <v>1.0</v>
      </c>
      <c r="J36" s="16">
        <v>1.0</v>
      </c>
      <c r="N36" s="25">
        <f>N32+O32+N33+O33</f>
        <v>32</v>
      </c>
    </row>
    <row r="37">
      <c r="I37" s="16">
        <v>0.0</v>
      </c>
      <c r="J37" s="16">
        <v>1.0</v>
      </c>
      <c r="M37" s="16" t="s">
        <v>105</v>
      </c>
      <c r="N37" s="37">
        <f>N35/N36</f>
        <v>0.6875</v>
      </c>
    </row>
    <row r="38">
      <c r="I38" s="16">
        <v>0.0</v>
      </c>
      <c r="J38" s="16">
        <v>0.0</v>
      </c>
      <c r="M38" s="16" t="s">
        <v>106</v>
      </c>
      <c r="N38" s="37">
        <f>O33/O34</f>
        <v>0.7058823529</v>
      </c>
    </row>
    <row r="39">
      <c r="I39" s="16">
        <v>1.0</v>
      </c>
      <c r="J39" s="16">
        <v>1.0</v>
      </c>
      <c r="M39" s="16" t="s">
        <v>107</v>
      </c>
      <c r="N39" s="37">
        <f>N32/N34</f>
        <v>0.6666666667</v>
      </c>
    </row>
    <row r="40">
      <c r="I40" s="16">
        <v>1.0</v>
      </c>
      <c r="J40" s="16">
        <v>1.0</v>
      </c>
    </row>
    <row r="41">
      <c r="I41" s="16">
        <v>0.0</v>
      </c>
      <c r="J41" s="16">
        <v>1.0</v>
      </c>
    </row>
  </sheetData>
  <mergeCells count="3">
    <mergeCell ref="G2:P3"/>
    <mergeCell ref="G7:I7"/>
    <mergeCell ref="G16:P16"/>
  </mergeCells>
  <drawing r:id="rId1"/>
</worksheet>
</file>